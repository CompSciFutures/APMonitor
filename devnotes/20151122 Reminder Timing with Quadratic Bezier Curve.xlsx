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3.xml" ContentType="application/vnd.openxmlformats-officedocument.drawingml.chart+xml"/>
  <Override PartName="/xl/charts/chart4.xml" ContentType="application/vnd.openxmlformats-officedocument.drawingml.chart+xml"/>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MO" sheetId="1" state="visible" r:id="rId2"/>
    <sheet name="IMPLEMENTATION"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<sst xmlns="http://schemas.openxmlformats.org/spreadsheetml/2006/main" count="30" uniqueCount="30">
  <si>
    <t xml:space="preserve">INPUT PARAMETERS</t>
  </si>
  <si>
    <r>
      <rPr>
        <b val="true"/>
        <sz val="10"/>
        <color rgb="FF56A8F5"/>
        <rFont val="JetBrains Mono"/>
        <family val="3"/>
        <charset val="1"/>
      </rPr>
      <t xml:space="preserve">calc_next_notification_delay_secs</t>
    </r>
    <r>
      <rPr>
        <b val="true"/>
        <sz val="10"/>
        <color rgb="FFBCBEC4"/>
        <rFont val="JetBrains Mono"/>
        <family val="3"/>
        <charset val="1"/>
      </rPr>
      <t xml:space="preserve">(notify_every_n_secs, after_every_n_notifications, secs_since_first_notification, current_notification_index)</t>
    </r>
  </si>
  <si>
    <t xml:space="preserve">Slow reminders to once every:</t>
  </si>
  <si>
    <t xml:space="preserve">seconds</t>
  </si>
  <si>
    <t xml:space="preserve">notify_every_n_secs = </t>
  </si>
  <si>
    <t xml:space="preserve">After:</t>
  </si>
  <si>
    <t xml:space="preserve">alarms</t>
  </si>
  <si>
    <t xml:space="preserve">after_every_n_notifications = </t>
  </si>
  <si>
    <t xml:space="preserve">(Note that alarms will take</t>
  </si>
  <si>
    <t xml:space="preserve">Seconds to slow down)</t>
  </si>
  <si>
    <t xml:space="preserve">secs_since_first_notification = </t>
  </si>
  <si>
    <t xml:space="preserve">current_notification_index = </t>
  </si>
  <si>
    <t xml:space="preserve">OUTPUT ALARM SCHEDULE</t>
  </si>
  <si>
    <t xml:space="preserve">Alarm #</t>
  </si>
  <si>
    <t xml:space="preserve">t</t>
  </si>
  <si>
    <t xml:space="preserve">Bx(t)</t>
  </si>
  <si>
    <t xml:space="preserve">By(t)</t>
  </si>
  <si>
    <t xml:space="preserve">Secs Since previous alarm</t>
  </si>
  <si>
    <t xml:space="preserve">Secs since first alarm</t>
  </si>
  <si>
    <t xml:space="preserve">QUADRATIC BEZIER CURVE POINTS (INTERNALS)</t>
  </si>
  <si>
    <t xml:space="preserve">X</t>
  </si>
  <si>
    <t xml:space="preserve">Y</t>
  </si>
  <si>
    <t xml:space="preserve">P0</t>
  </si>
  <si>
    <t xml:space="preserve">P1</t>
  </si>
  <si>
    <t xml:space="preserve">P2</t>
  </si>
  <si>
    <t xml:space="preserve">Author: Andrew Prendergast</t>
  </si>
  <si>
    <t xml:space="preserve">ap@andrewprendergast.com</t>
  </si>
  <si>
    <t xml:space="preserve">http://www.andrewprendergast.com/</t>
  </si>
  <si>
    <t xml:space="preserve">LICENSE</t>
  </si>
  <si>
    <r>
      <rPr>
        <sz val="11"/>
        <color rgb="FF000000"/>
        <rFont val="Calibri"/>
        <family val="2"/>
        <charset val="1"/>
      </rPr>
      <t xml:space="preserve">MODIFIED BSD LICENSE
Copyright (c) 2015, Andrew Prendergast
All rights reserved.
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t>
    </r>
    <r>
      <rPr>
        <sz val="11"/>
        <color rgb="FFFF0000"/>
        <rFont val="Calibri"/>
        <family val="2"/>
        <charset val="1"/>
      </rPr>
      <t xml:space="preserve">does not require the reproduction of </t>
    </r>
    <r>
      <rPr>
        <sz val="11"/>
        <color rgb="FF000000"/>
        <rFont val="Calibri"/>
        <family val="2"/>
        <charset val="1"/>
      </rPr>
      <t xml:space="preserve">the above copyright
   notice, this list of conditions and the following disclaimer in the
   documentation and/or other materials provided with the distribution.
3. All advertising materials mentioning features or use of this software
   must display the following acknowledgement:
   This product includes software developed by Andrew Prendergast.
4. Neither the name of Andrew Prendergast nor the
   names of its contributors may be used to endorse or promote products
   derived from this software without specific prior written permission.
THIS SOFTWARE IS PROVIDED BY Andrew Prendergast ''AS IS'' AND ANY
EXPRESS OR IMPLIED WARRANTIES, INCLUDING, BUT NOT LIMITED TO, THE IMPLIED
WARRANTIES OF MERCHANTABILITY AND FITNESS FOR A PARTICULAR PURPOSE ARE
DISCLAIMED. IN NO EVENT SHALL &lt;COPYRIGHT HOLDER&gt;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r>
  </si>
</sst>
</file>

<file path=xl/styles.xml><?xml version="1.0" encoding="utf-8"?>
<styleSheet xmlns="http://schemas.openxmlformats.org/spreadsheetml/2006/main">
  <numFmts count="4">
    <numFmt numFmtId="164" formatCode="General"/>
    <numFmt numFmtId="165" formatCode="#,##0.0000"/>
    <numFmt numFmtId="166" formatCode="#,##0.00"/>
    <numFmt numFmtId="167" formatCode="General"/>
  </numFmts>
  <fonts count="15">
    <font>
      <sz val="11"/>
      <color rgb="FF000000"/>
      <name val="Calibri"/>
      <family val="2"/>
      <charset val="1"/>
    </font>
    <font>
      <sz val="10"/>
      <name val="Arial"/>
      <family val="0"/>
    </font>
    <font>
      <sz val="10"/>
      <name val="Arial"/>
      <family val="0"/>
    </font>
    <font>
      <sz val="10"/>
      <name val="Arial"/>
      <family val="0"/>
    </font>
    <font>
      <b val="true"/>
      <sz val="16"/>
      <color rgb="FF000000"/>
      <name val="Calibri"/>
      <family val="2"/>
      <charset val="1"/>
    </font>
    <font>
      <b val="true"/>
      <sz val="10"/>
      <color rgb="FF56A8F5"/>
      <name val="JetBrains Mono"/>
      <family val="3"/>
      <charset val="1"/>
    </font>
    <font>
      <b val="true"/>
      <sz val="10"/>
      <color rgb="FFBCBEC4"/>
      <name val="JetBrains Mono"/>
      <family val="3"/>
      <charset val="1"/>
    </font>
    <font>
      <sz val="11"/>
      <color rgb="FF3F3F76"/>
      <name val="Calibri"/>
      <family val="2"/>
      <charset val="1"/>
    </font>
    <font>
      <b val="true"/>
      <sz val="11"/>
      <color rgb="FF3F3F3F"/>
      <name val="Calibri"/>
      <family val="2"/>
      <charset val="1"/>
    </font>
    <font>
      <i val="true"/>
      <sz val="11"/>
      <color rgb="FF000000"/>
      <name val="Calibri"/>
      <family val="2"/>
      <charset val="1"/>
    </font>
    <font>
      <u val="single"/>
      <sz val="11"/>
      <color rgb="FF0563C1"/>
      <name val="Calibri"/>
      <family val="2"/>
      <charset val="1"/>
    </font>
    <font>
      <i val="true"/>
      <u val="single"/>
      <sz val="11"/>
      <color rgb="FF0563C1"/>
      <name val="Calibri"/>
      <family val="2"/>
      <charset val="1"/>
    </font>
    <font>
      <sz val="11"/>
      <color rgb="FFFF0000"/>
      <name val="Calibri"/>
      <family val="2"/>
      <charset val="1"/>
    </font>
    <font>
      <sz val="9"/>
      <color rgb="FF595959"/>
      <name val="Calibri"/>
      <family val="2"/>
    </font>
    <font>
      <sz val="10"/>
      <color rgb="FF595959"/>
      <name val="Calibri"/>
      <family val="2"/>
    </font>
  </fonts>
  <fills count="4">
    <fill>
      <patternFill patternType="none"/>
    </fill>
    <fill>
      <patternFill patternType="gray125"/>
    </fill>
    <fill>
      <patternFill patternType="solid">
        <fgColor rgb="FFFFCC99"/>
        <bgColor rgb="FFD9D9D9"/>
      </patternFill>
    </fill>
    <fill>
      <patternFill patternType="solid">
        <fgColor rgb="FFF2F2F2"/>
        <bgColor rgb="FFFFFFCC"/>
      </patternFill>
    </fill>
  </fills>
  <borders count="3">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color rgb="FF3F3F3F"/>
      </left>
      <right style="thin">
        <color rgb="FF3F3F3F"/>
      </right>
      <top style="thin">
        <color rgb="FF3F3F3F"/>
      </top>
      <bottom style="thin">
        <color rgb="FF3F3F3F"/>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xf numFmtId="164" fontId="7" fillId="2" borderId="1" applyFont="true" applyBorder="true" applyAlignment="true" applyProtection="false">
      <alignment horizontal="general" vertical="bottom" textRotation="0" wrapText="false" indent="0" shrinkToFit="false"/>
    </xf>
    <xf numFmtId="164" fontId="8" fillId="3" borderId="2" applyFont="true" applyBorder="true" applyAlignment="true" applyProtection="false">
      <alignment horizontal="general" vertical="bottom" textRotation="0" wrapText="false" indent="0" shrinkToFit="false"/>
    </xf>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left"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7" fontId="7" fillId="2" borderId="1" xfId="21"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3" borderId="2" xfId="22" applyFont="true" applyBorder="true" applyAlignment="true" applyProtection="true">
      <alignment horizontal="general" vertical="bottom" textRotation="0" wrapText="false" indent="0" shrinkToFit="false"/>
      <protection locked="true" hidden="false"/>
    </xf>
    <xf numFmtId="165" fontId="8" fillId="3" borderId="2" xfId="22" applyFont="true" applyBorder="true" applyAlignment="true" applyProtection="true">
      <alignment horizontal="center" vertical="center" textRotation="0" wrapText="true" indent="0" shrinkToFit="false"/>
      <protection locked="true" hidden="false"/>
    </xf>
    <xf numFmtId="165" fontId="8" fillId="3" borderId="2" xfId="22"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20" applyFont="true" applyBorder="true" applyAlignment="true" applyProtection="true">
      <alignment horizontal="general" vertical="bottom"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Excel Built-in Input" xfId="21"/>
    <cellStyle name="Excel Built-in Output" xfId="22"/>
    <cellStyle name="*unknown*" xfId="20" builtinId="8"/>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5B9BD5"/>
      <rgbColor rgb="FF993366"/>
      <rgbColor rgb="FFFFFF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BCBEC4"/>
      <rgbColor rgb="FFFF99CC"/>
      <rgbColor rgb="FFCC99FF"/>
      <rgbColor rgb="FFFFCC99"/>
      <rgbColor rgb="FF3366FF"/>
      <rgbColor rgb="FF56A8F5"/>
      <rgbColor rgb="FF99CC00"/>
      <rgbColor rgb="FFFFCC00"/>
      <rgbColor rgb="FFFF9900"/>
      <rgbColor rgb="FFED7D31"/>
      <rgbColor rgb="FF595959"/>
      <rgbColor rgb="FF969696"/>
      <rgbColor rgb="FF003366"/>
      <rgbColor rgb="FF339966"/>
      <rgbColor rgb="FF003300"/>
      <rgbColor rgb="FF333300"/>
      <rgbColor rgb="FF993300"/>
      <rgbColor rgb="FF993366"/>
      <rgbColor rgb="FF3F3F76"/>
      <rgbColor rgb="FF3F3F3F"/>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Marker"/>
        <c:varyColors val="0"/>
        <c:ser>
          <c:idx val="0"/>
          <c:order val="0"/>
          <c:tx>
            <c:strRef>
              <c:f>"Reminder Alarm"</c:f>
              <c:strCache>
                <c:ptCount val="1"/>
                <c:pt idx="0">
                  <c:v>Reminder Alarm</c:v>
                </c:pt>
              </c:strCache>
            </c:strRef>
          </c:tx>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DEMO!$C$12:$C$31</c:f>
              <c:numCache>
                <c:formatCode>General</c:formatCode>
                <c:ptCount val="2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numCache>
            </c:numRef>
          </c:xVal>
          <c:yVal>
            <c:numRef>
              <c:f>DEMO!$G$12:$G$31</c:f>
              <c:numCache>
                <c:formatCode>General</c:formatCode>
                <c:ptCount val="20"/>
                <c:pt idx="0">
                  <c:v>0</c:v>
                </c:pt>
                <c:pt idx="1">
                  <c:v>61.8666666666667</c:v>
                </c:pt>
                <c:pt idx="2">
                  <c:v>119.466666666667</c:v>
                </c:pt>
                <c:pt idx="3">
                  <c:v>172.8</c:v>
                </c:pt>
                <c:pt idx="4">
                  <c:v>221.866666666667</c:v>
                </c:pt>
                <c:pt idx="5">
                  <c:v>266.666666666667</c:v>
                </c:pt>
                <c:pt idx="6">
                  <c:v>307.2</c:v>
                </c:pt>
                <c:pt idx="7">
                  <c:v>343.466666666667</c:v>
                </c:pt>
                <c:pt idx="8">
                  <c:v>375.466666666667</c:v>
                </c:pt>
                <c:pt idx="9">
                  <c:v>403.2</c:v>
                </c:pt>
                <c:pt idx="10">
                  <c:v>426.666666666667</c:v>
                </c:pt>
                <c:pt idx="11">
                  <c:v>445.866666666667</c:v>
                </c:pt>
                <c:pt idx="12">
                  <c:v>460.8</c:v>
                </c:pt>
                <c:pt idx="13">
                  <c:v>471.466666666667</c:v>
                </c:pt>
                <c:pt idx="14">
                  <c:v>477.866666666667</c:v>
                </c:pt>
                <c:pt idx="15">
                  <c:v>480</c:v>
                </c:pt>
                <c:pt idx="16">
                  <c:v>480</c:v>
                </c:pt>
                <c:pt idx="17">
                  <c:v>480</c:v>
                </c:pt>
                <c:pt idx="18">
                  <c:v>480</c:v>
                </c:pt>
                <c:pt idx="19">
                  <c:v>480</c:v>
                </c:pt>
              </c:numCache>
            </c:numRef>
          </c:yVal>
          <c:smooth val="0"/>
        </c:ser>
        <c:ser>
          <c:idx val="1"/>
          <c:order val="1"/>
          <c:tx>
            <c:strRef>
              <c:f>"Bezier Curve Points"</c:f>
              <c:strCache>
                <c:ptCount val="1"/>
                <c:pt idx="0">
                  <c:v>Bezier Curve Points</c:v>
                </c:pt>
              </c:strCache>
            </c:strRef>
          </c:tx>
          <c:spPr>
            <a:solidFill>
              <a:srgbClr val="5b9bd5"/>
            </a:solidFill>
            <a:ln w="19080">
              <a:noFill/>
            </a:ln>
          </c:spPr>
          <c:marker>
            <c:symbol val="circle"/>
            <c:size val="5"/>
            <c:spPr>
              <a:solidFill>
                <a:srgbClr val="5b9bd5"/>
              </a:solidFill>
            </c:spPr>
          </c:marker>
          <c:dPt>
            <c:idx val="0"/>
            <c:marker>
              <c:symbol val="circle"/>
              <c:size val="5"/>
              <c:spPr>
                <a:solidFill>
                  <a:srgbClr val="5b9bd5"/>
                </a:solidFill>
              </c:spPr>
            </c:marker>
          </c:dPt>
          <c:dPt>
            <c:idx val="1"/>
            <c:marker>
              <c:symbol val="circle"/>
              <c:size val="5"/>
              <c:spPr>
                <a:solidFill>
                  <a:srgbClr val="5b9bd5"/>
                </a:solidFill>
              </c:spPr>
            </c:marker>
          </c:dPt>
          <c:dPt>
            <c:idx val="2"/>
            <c:marker>
              <c:symbol val="circle"/>
              <c:size val="5"/>
              <c:spPr>
                <a:solidFill>
                  <a:srgbClr val="5b9bd5"/>
                </a:solidFill>
              </c:spPr>
            </c:marker>
          </c:dPt>
          <c:dLbls>
            <c:dLbl>
              <c:idx val="0"/>
              <c:txPr>
                <a:bodyPr wrap="square"/>
                <a:lstStyle/>
                <a:p>
                  <a:pPr>
                    <a:defRPr b="0" sz="1000" spc="-1" strike="noStrike">
                      <a:solidFill>
                        <a:srgbClr val="404040"/>
                      </a:solidFill>
                      <a:latin typeface="Calibri"/>
                    </a:defRPr>
                  </a:pPr>
                </a:p>
              </c:txPr>
              <c:tx>
                <c:rich>
                  <a:bodyPr/>
                  <a:p>
                    <a:fld id="{A2C44C5F-4ED0-4070-AB13-AA70216CD320}" type="CELLRANGE">
                      <a:rPr b="0" lang="en-US" sz="900" spc="-1" strike="noStrike">
                        <a:solidFill>
                          <a:srgbClr val="404040"/>
                        </a:solidFill>
                        <a:latin typeface="Calibri"/>
                      </a:rPr>
                      <a:t>[CELLRANGE]</a:t>
                    </a:fld>
                  </a:p>
                </c:rich>
              </c:tx>
              <c:dLblPos val="r"/>
              <c:showLegendKey val="0"/>
              <c:showVal val="0"/>
              <c:showCatName val="0"/>
              <c:showSerName val="0"/>
              <c:showPercent val="0"/>
              <c:separator>; </c:separator>
              <c:extLst>
                <c:ext xmlns:c15="http://schemas.microsoft.com/office/drawing/2012/chart" uri="{CE6537A1-D6FC-4f65-9D91-7224C49458BB}">
                  <c15:showDataLabelsRange val="1"/>
                </c:ext>
              </c:extLst>
            </c:dLbl>
            <c:dLbl>
              <c:idx val="1"/>
              <c:txPr>
                <a:bodyPr wrap="square"/>
                <a:lstStyle/>
                <a:p>
                  <a:pPr>
                    <a:defRPr b="0" sz="1000" spc="-1" strike="noStrike">
                      <a:solidFill>
                        <a:srgbClr val="404040"/>
                      </a:solidFill>
                      <a:latin typeface="Calibri"/>
                    </a:defRPr>
                  </a:pPr>
                </a:p>
              </c:txPr>
              <c:tx>
                <c:rich>
                  <a:bodyPr/>
                  <a:p>
                    <a:fld id="{94063901-02E9-433C-8A46-AFBDF13BF1B7}" type="CELLRANGE">
                      <a:rPr b="0" lang="en-US" sz="900" spc="-1" strike="noStrike">
                        <a:solidFill>
                          <a:srgbClr val="404040"/>
                        </a:solidFill>
                        <a:latin typeface="Calibri"/>
                      </a:rPr>
                      <a:t>[CELLRANGE]</a:t>
                    </a:fld>
                  </a:p>
                </c:rich>
              </c:tx>
              <c:dLblPos val="r"/>
              <c:showLegendKey val="0"/>
              <c:showVal val="0"/>
              <c:showCatName val="0"/>
              <c:showSerName val="0"/>
              <c:showPercent val="0"/>
              <c:separator>; </c:separator>
              <c:extLst>
                <c:ext xmlns:c15="http://schemas.microsoft.com/office/drawing/2012/chart" uri="{CE6537A1-D6FC-4f65-9D91-7224C49458BB}">
                  <c15:showDataLabelsRange val="1"/>
                </c:ext>
              </c:extLst>
            </c:dLbl>
            <c:dLbl>
              <c:idx val="2"/>
              <c:txPr>
                <a:bodyPr wrap="square"/>
                <a:lstStyle/>
                <a:p>
                  <a:pPr>
                    <a:defRPr b="0" sz="1000" spc="-1" strike="noStrike">
                      <a:solidFill>
                        <a:srgbClr val="404040"/>
                      </a:solidFill>
                      <a:latin typeface="Calibri"/>
                    </a:defRPr>
                  </a:pPr>
                </a:p>
              </c:txPr>
              <c:tx>
                <c:rich>
                  <a:bodyPr/>
                  <a:p>
                    <a:fld id="{847349D3-E4BE-4C49-8022-10AE41FE55BC}" type="CELLRANGE">
                      <a:rPr b="0" lang="en-US" sz="900" spc="-1" strike="noStrike">
                        <a:solidFill>
                          <a:srgbClr val="404040"/>
                        </a:solidFill>
                        <a:latin typeface="Calibri"/>
                      </a:rPr>
                      <a:t>[CELLRANGE]</a:t>
                    </a:fld>
                  </a:p>
                </c:rich>
              </c:tx>
              <c:dLblPos val="r"/>
              <c:showLegendKey val="0"/>
              <c:showVal val="0"/>
              <c:showCatName val="0"/>
              <c:showSerName val="0"/>
              <c:showPercent val="0"/>
              <c:separator>; </c:separator>
              <c:extLst>
                <c:ext xmlns:c15="http://schemas.microsoft.com/office/drawing/2012/chart" uri="{CE6537A1-D6FC-4f65-9D91-7224C49458BB}">
                  <c15:showDataLabelsRange val="1"/>
                </c:ext>
              </c:extLst>
            </c:dLbl>
            <c:txPr>
              <a:bodyPr wrap="square"/>
              <a:lstStyle/>
              <a:p>
                <a:pPr>
                  <a:defRPr b="0" sz="900" spc="-1" strike="noStrike">
                    <a:solidFill>
                      <a:srgbClr val="40404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DEMO!$D$39:$D$41</c:f>
              <c:numCache>
                <c:formatCode>General</c:formatCode>
                <c:ptCount val="3"/>
                <c:pt idx="0">
                  <c:v>0</c:v>
                </c:pt>
                <c:pt idx="1">
                  <c:v>0</c:v>
                </c:pt>
                <c:pt idx="2">
                  <c:v>15</c:v>
                </c:pt>
              </c:numCache>
            </c:numRef>
          </c:xVal>
          <c:yVal>
            <c:numRef>
              <c:f>DEMO!$E$39:$E$41</c:f>
              <c:numCache>
                <c:formatCode>General</c:formatCode>
                <c:ptCount val="3"/>
                <c:pt idx="0">
                  <c:v>0</c:v>
                </c:pt>
                <c:pt idx="1">
                  <c:v>480</c:v>
                </c:pt>
                <c:pt idx="2">
                  <c:v>480</c:v>
                </c:pt>
              </c:numCache>
            </c:numRef>
          </c:yVal>
          <c:smooth val="0"/>
          <c:extLst>
            <c:ext xmlns:c15="http://schemas.microsoft.com/office/drawing/2012/chart" uri="{02D57815-91ED-43cb-92C2-25804820EDAC}">
              <c15:datalabelsRange>
                <c15:f>Sheet1!$C$39:$C$41</c15:f>
                <c15:dlblRangeCache>
                  <c:ptCount val="3"/>
                  <c:pt idx="0">
                    <c:v>P0</c:v>
                  </c:pt>
                  <c:pt idx="1">
                    <c:v>P1</c:v>
                  </c:pt>
                  <c:pt idx="2">
                    <c:v>P2</c:v>
                  </c:pt>
                </c15:dlblRangeCache>
              </c15:datalabelsRange>
            </c:ext>
          </c:extLst>
        </c:ser>
        <c:axId val="33076223"/>
        <c:axId val="83289969"/>
      </c:scatterChart>
      <c:valAx>
        <c:axId val="33076223"/>
        <c:scaling>
          <c:orientation val="minMax"/>
        </c:scaling>
        <c:delete val="0"/>
        <c:axPos val="b"/>
        <c:majorGridlines>
          <c:spPr>
            <a:ln w="9360">
              <a:solidFill>
                <a:srgbClr val="d9d9d9"/>
              </a:solidFill>
              <a:round/>
            </a:ln>
          </c:spPr>
        </c:majorGridlines>
        <c:title>
          <c:tx>
            <c:rich>
              <a:bodyPr rot="0"/>
              <a:lstStyle/>
              <a:p>
                <a:pPr>
                  <a:defRPr b="0" lang="en-AU" sz="1000" spc="-1" strike="noStrike">
                    <a:solidFill>
                      <a:srgbClr val="595959"/>
                    </a:solidFill>
                    <a:latin typeface="Calibri"/>
                  </a:defRPr>
                </a:pPr>
                <a:r>
                  <a:rPr b="0" lang="en-AU" sz="1000" spc="-1" strike="noStrike">
                    <a:solidFill>
                      <a:srgbClr val="595959"/>
                    </a:solidFill>
                    <a:latin typeface="Calibri"/>
                  </a:rPr>
                  <a:t>Alarm Sequence Number</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83289969"/>
        <c:crosses val="autoZero"/>
        <c:crossBetween val="midCat"/>
      </c:valAx>
      <c:valAx>
        <c:axId val="83289969"/>
        <c:scaling>
          <c:orientation val="minMax"/>
        </c:scaling>
        <c:delete val="0"/>
        <c:axPos val="l"/>
        <c:majorGridlines>
          <c:spPr>
            <a:ln w="9360">
              <a:solidFill>
                <a:srgbClr val="d9d9d9"/>
              </a:solidFill>
              <a:round/>
            </a:ln>
          </c:spPr>
        </c:majorGridlines>
        <c:title>
          <c:tx>
            <c:rich>
              <a:bodyPr rot="-5400000"/>
              <a:lstStyle/>
              <a:p>
                <a:pPr>
                  <a:defRPr b="0" lang="en-AU" sz="1000" spc="-1" strike="noStrike">
                    <a:solidFill>
                      <a:srgbClr val="595959"/>
                    </a:solidFill>
                    <a:latin typeface="Calibri"/>
                  </a:defRPr>
                </a:pPr>
                <a:r>
                  <a:rPr b="0" lang="en-AU" sz="1000" spc="-1" strike="noStrike">
                    <a:solidFill>
                      <a:srgbClr val="595959"/>
                    </a:solidFill>
                    <a:latin typeface="Calibri"/>
                  </a:rPr>
                  <a:t>Minutes Between Alarms</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33076223"/>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5082444228904"/>
          <c:y val="0.0463255422194146"/>
          <c:w val="0.805805736455591"/>
          <c:h val="0.697936407664772"/>
        </c:manualLayout>
      </c:layout>
      <c:scatterChart>
        <c:scatterStyle val="lineMarker"/>
        <c:varyColors val="0"/>
        <c:ser>
          <c:idx val="0"/>
          <c:order val="0"/>
          <c:tx>
            <c:strRef>
              <c:f>"Alarm Schedule"</c:f>
              <c:strCache>
                <c:ptCount val="1"/>
                <c:pt idx="0">
                  <c:v>Alarm Schedule</c:v>
                </c:pt>
              </c:strCache>
            </c:strRef>
          </c:tx>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DEMO!$H$12:$H$31</c:f>
              <c:numCache>
                <c:formatCode>General</c:formatCode>
                <c:ptCount val="20"/>
                <c:pt idx="0">
                  <c:v>0</c:v>
                </c:pt>
                <c:pt idx="1">
                  <c:v>61.8666666666667</c:v>
                </c:pt>
                <c:pt idx="2">
                  <c:v>181.333333333333</c:v>
                </c:pt>
                <c:pt idx="3">
                  <c:v>354.133333333333</c:v>
                </c:pt>
                <c:pt idx="4">
                  <c:v>576</c:v>
                </c:pt>
                <c:pt idx="5">
                  <c:v>842.666666666667</c:v>
                </c:pt>
                <c:pt idx="6">
                  <c:v>1149.86666666667</c:v>
                </c:pt>
                <c:pt idx="7">
                  <c:v>1493.33333333333</c:v>
                </c:pt>
                <c:pt idx="8">
                  <c:v>1868.8</c:v>
                </c:pt>
                <c:pt idx="9">
                  <c:v>2272</c:v>
                </c:pt>
                <c:pt idx="10">
                  <c:v>2698.66666666667</c:v>
                </c:pt>
                <c:pt idx="11">
                  <c:v>3144.53333333333</c:v>
                </c:pt>
                <c:pt idx="12">
                  <c:v>3605.33333333333</c:v>
                </c:pt>
                <c:pt idx="13">
                  <c:v>4076.8</c:v>
                </c:pt>
                <c:pt idx="14">
                  <c:v>4554.66666666667</c:v>
                </c:pt>
                <c:pt idx="15">
                  <c:v>5034.66666666667</c:v>
                </c:pt>
                <c:pt idx="16">
                  <c:v>5514.66666666667</c:v>
                </c:pt>
                <c:pt idx="17">
                  <c:v>5994.66666666667</c:v>
                </c:pt>
                <c:pt idx="18">
                  <c:v>6474.66666666667</c:v>
                </c:pt>
                <c:pt idx="19">
                  <c:v>6954.66666666667</c:v>
                </c:pt>
              </c:numCache>
            </c:numRef>
          </c:xVal>
          <c:yVal>
            <c:numRef>
              <c:f>DEMO!$C$12:$C$31</c:f>
              <c:numCache>
                <c:formatCode>General</c:formatCode>
                <c:ptCount val="2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numCache>
            </c:numRef>
          </c:yVal>
          <c:smooth val="0"/>
        </c:ser>
        <c:axId val="16404062"/>
        <c:axId val="90369206"/>
      </c:scatterChart>
      <c:valAx>
        <c:axId val="16404062"/>
        <c:scaling>
          <c:orientation val="minMax"/>
        </c:scaling>
        <c:delete val="0"/>
        <c:axPos val="b"/>
        <c:majorGridlines>
          <c:spPr>
            <a:ln w="9360">
              <a:solidFill>
                <a:srgbClr val="d9d9d9"/>
              </a:solidFill>
              <a:round/>
            </a:ln>
          </c:spPr>
        </c:majorGridlines>
        <c:title>
          <c:tx>
            <c:rich>
              <a:bodyPr rot="0"/>
              <a:lstStyle/>
              <a:p>
                <a:pPr>
                  <a:defRPr b="0" lang="en-AU" sz="1000" spc="-1" strike="noStrike">
                    <a:solidFill>
                      <a:srgbClr val="595959"/>
                    </a:solidFill>
                    <a:latin typeface="Calibri"/>
                  </a:defRPr>
                </a:pPr>
                <a:r>
                  <a:rPr b="0" lang="en-AU" sz="1000" spc="-1" strike="noStrike">
                    <a:solidFill>
                      <a:srgbClr val="595959"/>
                    </a:solidFill>
                    <a:latin typeface="Calibri"/>
                  </a:rPr>
                  <a:t>Mins after outage started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90369206"/>
        <c:crosses val="autoZero"/>
        <c:crossBetween val="midCat"/>
      </c:valAx>
      <c:valAx>
        <c:axId val="90369206"/>
        <c:scaling>
          <c:orientation val="minMax"/>
        </c:scaling>
        <c:delete val="0"/>
        <c:axPos val="l"/>
        <c:majorGridlines>
          <c:spPr>
            <a:ln w="9360">
              <a:solidFill>
                <a:srgbClr val="d9d9d9"/>
              </a:solidFill>
              <a:round/>
            </a:ln>
          </c:spPr>
        </c:majorGridlines>
        <c:title>
          <c:tx>
            <c:rich>
              <a:bodyPr rot="-5400000"/>
              <a:lstStyle/>
              <a:p>
                <a:pPr>
                  <a:defRPr b="0" lang="en-AU" sz="1000" spc="-1" strike="noStrike">
                    <a:solidFill>
                      <a:srgbClr val="595959"/>
                    </a:solidFill>
                    <a:latin typeface="Calibri"/>
                  </a:defRPr>
                </a:pPr>
                <a:r>
                  <a:rPr b="0" lang="en-AU" sz="1000" spc="-1" strike="noStrike">
                    <a:solidFill>
                      <a:srgbClr val="595959"/>
                    </a:solidFill>
                    <a:latin typeface="Calibri"/>
                  </a:rPr>
                  <a:t>Alarm Sequence Number</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16404062"/>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354240</xdr:colOff>
      <xdr:row>1</xdr:row>
      <xdr:rowOff>85680</xdr:rowOff>
    </xdr:from>
    <xdr:to>
      <xdr:col>17</xdr:col>
      <xdr:colOff>48600</xdr:colOff>
      <xdr:row>16</xdr:row>
      <xdr:rowOff>121320</xdr:rowOff>
    </xdr:to>
    <xdr:graphicFrame>
      <xdr:nvGraphicFramePr>
        <xdr:cNvPr id="0" name="Chart 1"/>
        <xdr:cNvGraphicFramePr/>
      </xdr:nvGraphicFramePr>
      <xdr:xfrm>
        <a:off x="7390800" y="261000"/>
        <a:ext cx="5195880" cy="3296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373320</xdr:colOff>
      <xdr:row>18</xdr:row>
      <xdr:rowOff>15120</xdr:rowOff>
    </xdr:from>
    <xdr:to>
      <xdr:col>17</xdr:col>
      <xdr:colOff>67680</xdr:colOff>
      <xdr:row>37</xdr:row>
      <xdr:rowOff>29160</xdr:rowOff>
    </xdr:to>
    <xdr:graphicFrame>
      <xdr:nvGraphicFramePr>
        <xdr:cNvPr id="1" name="Chart 4"/>
        <xdr:cNvGraphicFramePr/>
      </xdr:nvGraphicFramePr>
      <xdr:xfrm>
        <a:off x="7409880" y="3801600"/>
        <a:ext cx="5195880" cy="341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mailto:ap@andrewprendergast.com" TargetMode="External"/><Relationship Id="rId2" Type="http://schemas.openxmlformats.org/officeDocument/2006/relationships/hyperlink" Target="http://www.andrewprendergast.com/" TargetMode="External"/><Relationship Id="rId3"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2:T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8" activeCellId="0" sqref="G8"/>
    </sheetView>
  </sheetViews>
  <sheetFormatPr defaultColWidth="8.59765625" defaultRowHeight="13.8" zeroHeight="false" outlineLevelRow="0" outlineLevelCol="0"/>
  <cols>
    <col collapsed="false" customWidth="true" hidden="false" outlineLevel="0" max="8" min="7" style="1" width="13.89"/>
    <col collapsed="false" customWidth="true" hidden="false" outlineLevel="0" max="19" min="19" style="2" width="31"/>
    <col collapsed="false" customWidth="true" hidden="false" outlineLevel="0" max="20" min="20" style="3" width="86.13"/>
    <col collapsed="false" customWidth="false" hidden="false" outlineLevel="0" max="21" min="21" style="4" width="8.59"/>
  </cols>
  <sheetData>
    <row r="2" customFormat="false" ht="19.7" hidden="false" customHeight="false" outlineLevel="0" collapsed="false">
      <c r="C2" s="5" t="s">
        <v>0</v>
      </c>
      <c r="S2" s="6" t="s">
        <v>1</v>
      </c>
    </row>
    <row r="3" customFormat="false" ht="14.9" hidden="false" customHeight="true" outlineLevel="0" collapsed="false"/>
    <row r="4" customFormat="false" ht="14.9" hidden="false" customHeight="true" outlineLevel="0" collapsed="false">
      <c r="C4" s="2" t="s">
        <v>2</v>
      </c>
      <c r="F4" s="7" t="n">
        <f aca="false">60*8</f>
        <v>480</v>
      </c>
      <c r="G4" s="1" t="s">
        <v>3</v>
      </c>
      <c r="S4" s="8" t="s">
        <v>4</v>
      </c>
      <c r="T4" s="3" t="n">
        <f aca="false">F4</f>
        <v>480</v>
      </c>
    </row>
    <row r="5" customFormat="false" ht="14.9" hidden="false" customHeight="true" outlineLevel="0" collapsed="false">
      <c r="C5" s="2" t="s">
        <v>5</v>
      </c>
      <c r="F5" s="7" t="n">
        <v>15</v>
      </c>
      <c r="G5" s="1" t="s">
        <v>6</v>
      </c>
      <c r="S5" s="8" t="s">
        <v>7</v>
      </c>
      <c r="T5" s="3" t="n">
        <f aca="false">F5</f>
        <v>15</v>
      </c>
    </row>
    <row r="6" customFormat="false" ht="14.9" hidden="false" customHeight="true" outlineLevel="0" collapsed="false">
      <c r="C6" s="2" t="s">
        <v>8</v>
      </c>
      <c r="F6" s="2" t="n">
        <f aca="false">SUMIF(D12:D31,"&lt;=1", G12:G31)</f>
        <v>5034.66666666667</v>
      </c>
      <c r="G6" s="1" t="s">
        <v>9</v>
      </c>
      <c r="S6" s="8" t="s">
        <v>10</v>
      </c>
      <c r="T6" s="3" t="n">
        <f aca="false">H14</f>
        <v>181.333333333333</v>
      </c>
    </row>
    <row r="7" customFormat="false" ht="14.9" hidden="false" customHeight="true" outlineLevel="0" collapsed="false">
      <c r="S7" s="8" t="s">
        <v>11</v>
      </c>
      <c r="T7" s="3" t="n">
        <f aca="false">C14</f>
        <v>2</v>
      </c>
    </row>
    <row r="8" customFormat="false" ht="19.7" hidden="false" customHeight="false" outlineLevel="0" collapsed="false">
      <c r="C8" s="5" t="s">
        <v>12</v>
      </c>
    </row>
    <row r="11" customFormat="false" ht="46.25" hidden="false" customHeight="false" outlineLevel="0" collapsed="false">
      <c r="C11" s="9" t="s">
        <v>13</v>
      </c>
      <c r="D11" s="2" t="s">
        <v>14</v>
      </c>
      <c r="E11" s="2" t="s">
        <v>15</v>
      </c>
      <c r="F11" s="2" t="s">
        <v>16</v>
      </c>
      <c r="G11" s="10" t="s">
        <v>17</v>
      </c>
      <c r="H11" s="10" t="s">
        <v>18</v>
      </c>
    </row>
    <row r="12" customFormat="false" ht="13.8" hidden="false" customHeight="false" outlineLevel="0" collapsed="false">
      <c r="C12" s="9" t="n">
        <v>0</v>
      </c>
      <c r="D12" s="2" t="n">
        <v>0</v>
      </c>
      <c r="E12" s="2" t="n">
        <f aca="false">(1-$D12)*(1-$D12)*D$39+2*(1-$D12)*$D12*D$40+$D12*$D12*D$41</f>
        <v>0</v>
      </c>
      <c r="F12" s="2" t="n">
        <f aca="false">(1-$D12)*(1-$D12)*E$39+2*(1-$D12)*$D12*E$40+$D12*$D12*E$41</f>
        <v>0</v>
      </c>
      <c r="G12" s="11" t="n">
        <f aca="false">IF(D12&lt;=1,F12,F$4)</f>
        <v>0</v>
      </c>
      <c r="H12" s="11" t="n">
        <f aca="false">G12</f>
        <v>0</v>
      </c>
    </row>
    <row r="13" customFormat="false" ht="13.8" hidden="false" customHeight="false" outlineLevel="0" collapsed="false">
      <c r="C13" s="9" t="n">
        <v>1</v>
      </c>
      <c r="D13" s="2" t="n">
        <f aca="false">1/$F$5</f>
        <v>0.0666666666666667</v>
      </c>
      <c r="E13" s="2" t="n">
        <f aca="false">(1-$D13)*(1-$D13)*D$39+2*(1-$D13)*$D13*D$40+$D13*$D13*D$41</f>
        <v>0.0666666666666667</v>
      </c>
      <c r="F13" s="2" t="n">
        <f aca="false">(1-$D13)*(1-$D13)*E$39+2*(1-$D13)*$D13*E$40+$D13*$D13*E$41</f>
        <v>61.8666666666667</v>
      </c>
      <c r="G13" s="11" t="n">
        <f aca="false">IF(D13&lt;=1,F13,F$4)</f>
        <v>61.8666666666667</v>
      </c>
      <c r="H13" s="11" t="n">
        <f aca="false">G13+H12</f>
        <v>61.8666666666667</v>
      </c>
    </row>
    <row r="14" customFormat="false" ht="13.8" hidden="false" customHeight="false" outlineLevel="0" collapsed="false">
      <c r="C14" s="9" t="n">
        <v>2</v>
      </c>
      <c r="D14" s="2" t="n">
        <f aca="false">1/$F$5+D13</f>
        <v>0.133333333333333</v>
      </c>
      <c r="E14" s="2" t="n">
        <f aca="false">(1-$D14)*(1-$D14)*D$39+2*(1-$D14)*$D14*D$40+$D14*$D14*D$41</f>
        <v>0.266666666666667</v>
      </c>
      <c r="F14" s="2" t="n">
        <f aca="false">(1-$D14)*(1-$D14)*E$39+2*(1-$D14)*$D14*E$40+$D14*$D14*E$41</f>
        <v>119.466666666667</v>
      </c>
      <c r="G14" s="11" t="n">
        <f aca="false">IF(D14&lt;=1,F14,F$4)</f>
        <v>119.466666666667</v>
      </c>
      <c r="H14" s="11" t="n">
        <f aca="false">G14+H13</f>
        <v>181.333333333333</v>
      </c>
    </row>
    <row r="15" customFormat="false" ht="13.8" hidden="false" customHeight="false" outlineLevel="0" collapsed="false">
      <c r="C15" s="9" t="n">
        <v>3</v>
      </c>
      <c r="D15" s="2" t="n">
        <f aca="false">1/$F$5+D14</f>
        <v>0.2</v>
      </c>
      <c r="E15" s="2" t="n">
        <f aca="false">(1-$D15)*(1-$D15)*D$39+2*(1-$D15)*$D15*D$40+$D15*$D15*D$41</f>
        <v>0.6</v>
      </c>
      <c r="F15" s="2" t="n">
        <f aca="false">(1-$D15)*(1-$D15)*E$39+2*(1-$D15)*$D15*E$40+$D15*$D15*E$41</f>
        <v>172.8</v>
      </c>
      <c r="G15" s="11" t="n">
        <f aca="false">IF(D15&lt;=1,F15,F$4)</f>
        <v>172.8</v>
      </c>
      <c r="H15" s="11" t="n">
        <f aca="false">G15+H14</f>
        <v>354.133333333333</v>
      </c>
    </row>
    <row r="16" customFormat="false" ht="13.8" hidden="false" customHeight="false" outlineLevel="0" collapsed="false">
      <c r="C16" s="9" t="n">
        <v>4</v>
      </c>
      <c r="D16" s="2" t="n">
        <f aca="false">1/$F$5+D15</f>
        <v>0.266666666666667</v>
      </c>
      <c r="E16" s="2" t="n">
        <f aca="false">(1-$D16)*(1-$D16)*D$39+2*(1-$D16)*$D16*D$40+$D16*$D16*D$41</f>
        <v>1.06666666666667</v>
      </c>
      <c r="F16" s="2" t="n">
        <f aca="false">(1-$D16)*(1-$D16)*E$39+2*(1-$D16)*$D16*E$40+$D16*$D16*E$41</f>
        <v>221.866666666667</v>
      </c>
      <c r="G16" s="11" t="n">
        <f aca="false">IF(D16&lt;=1,F16,F$4)</f>
        <v>221.866666666667</v>
      </c>
      <c r="H16" s="11" t="n">
        <f aca="false">G16+H15</f>
        <v>576</v>
      </c>
    </row>
    <row r="17" customFormat="false" ht="13.8" hidden="false" customHeight="false" outlineLevel="0" collapsed="false">
      <c r="C17" s="9" t="n">
        <v>5</v>
      </c>
      <c r="D17" s="2" t="n">
        <f aca="false">1/$F$5+D16</f>
        <v>0.333333333333333</v>
      </c>
      <c r="E17" s="2" t="n">
        <f aca="false">(1-$D17)*(1-$D17)*D$39+2*(1-$D17)*$D17*D$40+$D17*$D17*D$41</f>
        <v>1.66666666666667</v>
      </c>
      <c r="F17" s="2" t="n">
        <f aca="false">(1-$D17)*(1-$D17)*E$39+2*(1-$D17)*$D17*E$40+$D17*$D17*E$41</f>
        <v>266.666666666667</v>
      </c>
      <c r="G17" s="11" t="n">
        <f aca="false">IF(D17&lt;=1,F17,F$4)</f>
        <v>266.666666666667</v>
      </c>
      <c r="H17" s="11" t="n">
        <f aca="false">G17+H16</f>
        <v>842.666666666667</v>
      </c>
    </row>
    <row r="18" customFormat="false" ht="13.8" hidden="false" customHeight="false" outlineLevel="0" collapsed="false">
      <c r="C18" s="9" t="n">
        <v>6</v>
      </c>
      <c r="D18" s="2" t="n">
        <f aca="false">1/$F$5+D17</f>
        <v>0.4</v>
      </c>
      <c r="E18" s="2" t="n">
        <f aca="false">(1-$D18)*(1-$D18)*D$39+2*(1-$D18)*$D18*D$40+$D18*$D18*D$41</f>
        <v>2.4</v>
      </c>
      <c r="F18" s="2" t="n">
        <f aca="false">(1-$D18)*(1-$D18)*E$39+2*(1-$D18)*$D18*E$40+$D18*$D18*E$41</f>
        <v>307.2</v>
      </c>
      <c r="G18" s="11" t="n">
        <f aca="false">IF(D18&lt;=1,F18,F$4)</f>
        <v>307.2</v>
      </c>
      <c r="H18" s="11" t="n">
        <f aca="false">G18+H17</f>
        <v>1149.86666666667</v>
      </c>
      <c r="S18" s="2" t="n">
        <f aca="false">0/15</f>
        <v>0</v>
      </c>
    </row>
    <row r="19" customFormat="false" ht="13.8" hidden="false" customHeight="false" outlineLevel="0" collapsed="false">
      <c r="C19" s="9" t="n">
        <v>7</v>
      </c>
      <c r="D19" s="2" t="n">
        <f aca="false">1/$F$5+D18</f>
        <v>0.466666666666667</v>
      </c>
      <c r="E19" s="2" t="n">
        <f aca="false">(1-$D19)*(1-$D19)*D$39+2*(1-$D19)*$D19*D$40+$D19*$D19*D$41</f>
        <v>3.26666666666667</v>
      </c>
      <c r="F19" s="2" t="n">
        <f aca="false">(1-$D19)*(1-$D19)*E$39+2*(1-$D19)*$D19*E$40+$D19*$D19*E$41</f>
        <v>343.466666666667</v>
      </c>
      <c r="G19" s="11" t="n">
        <f aca="false">IF(D19&lt;=1,F19,F$4)</f>
        <v>343.466666666667</v>
      </c>
      <c r="H19" s="11" t="n">
        <f aca="false">G19+H18</f>
        <v>1493.33333333333</v>
      </c>
    </row>
    <row r="20" customFormat="false" ht="13.8" hidden="false" customHeight="false" outlineLevel="0" collapsed="false">
      <c r="C20" s="9" t="n">
        <v>8</v>
      </c>
      <c r="D20" s="2" t="n">
        <f aca="false">1/$F$5+D19</f>
        <v>0.533333333333333</v>
      </c>
      <c r="E20" s="2" t="n">
        <f aca="false">(1-$D20)*(1-$D20)*D$39+2*(1-$D20)*$D20*D$40+$D20*$D20*D$41</f>
        <v>4.26666666666667</v>
      </c>
      <c r="F20" s="2" t="n">
        <f aca="false">(1-$D20)*(1-$D20)*E$39+2*(1-$D20)*$D20*E$40+$D20*$D20*E$41</f>
        <v>375.466666666667</v>
      </c>
      <c r="G20" s="11" t="n">
        <f aca="false">IF(D20&lt;=1,F20,F$4)</f>
        <v>375.466666666667</v>
      </c>
      <c r="H20" s="11" t="n">
        <f aca="false">G20+H19</f>
        <v>1868.8</v>
      </c>
    </row>
    <row r="21" customFormat="false" ht="13.8" hidden="false" customHeight="false" outlineLevel="0" collapsed="false">
      <c r="C21" s="9" t="n">
        <v>9</v>
      </c>
      <c r="D21" s="2" t="n">
        <f aca="false">1/$F$5+D20</f>
        <v>0.6</v>
      </c>
      <c r="E21" s="2" t="n">
        <f aca="false">(1-$D21)*(1-$D21)*D$39+2*(1-$D21)*$D21*D$40+$D21*$D21*D$41</f>
        <v>5.4</v>
      </c>
      <c r="F21" s="2" t="n">
        <f aca="false">(1-$D21)*(1-$D21)*E$39+2*(1-$D21)*$D21*E$40+$D21*$D21*E$41</f>
        <v>403.2</v>
      </c>
      <c r="G21" s="11" t="n">
        <f aca="false">IF(D21&lt;=1,F21,F$4)</f>
        <v>403.2</v>
      </c>
      <c r="H21" s="11" t="n">
        <f aca="false">G21+H20</f>
        <v>2272</v>
      </c>
    </row>
    <row r="22" customFormat="false" ht="13.8" hidden="false" customHeight="false" outlineLevel="0" collapsed="false">
      <c r="C22" s="9" t="n">
        <v>10</v>
      </c>
      <c r="D22" s="2" t="n">
        <f aca="false">1/$F$5+D21</f>
        <v>0.666666666666667</v>
      </c>
      <c r="E22" s="2" t="n">
        <f aca="false">(1-$D22)*(1-$D22)*D$39+2*(1-$D22)*$D22*D$40+$D22*$D22*D$41</f>
        <v>6.66666666666667</v>
      </c>
      <c r="F22" s="2" t="n">
        <f aca="false">(1-$D22)*(1-$D22)*E$39+2*(1-$D22)*$D22*E$40+$D22*$D22*E$41</f>
        <v>426.666666666667</v>
      </c>
      <c r="G22" s="11" t="n">
        <f aca="false">IF(D22&lt;=1,F22,F$4)</f>
        <v>426.666666666667</v>
      </c>
      <c r="H22" s="11" t="n">
        <f aca="false">G22+H21</f>
        <v>2698.66666666667</v>
      </c>
    </row>
    <row r="23" customFormat="false" ht="13.8" hidden="false" customHeight="false" outlineLevel="0" collapsed="false">
      <c r="C23" s="9" t="n">
        <v>11</v>
      </c>
      <c r="D23" s="2" t="n">
        <f aca="false">1/$F$5+D22</f>
        <v>0.733333333333333</v>
      </c>
      <c r="E23" s="2" t="n">
        <f aca="false">(1-$D23)*(1-$D23)*D$39+2*(1-$D23)*$D23*D$40+$D23*$D23*D$41</f>
        <v>8.06666666666667</v>
      </c>
      <c r="F23" s="2" t="n">
        <f aca="false">(1-$D23)*(1-$D23)*E$39+2*(1-$D23)*$D23*E$40+$D23*$D23*E$41</f>
        <v>445.866666666667</v>
      </c>
      <c r="G23" s="11" t="n">
        <f aca="false">IF(D23&lt;=1,F23,F$4)</f>
        <v>445.866666666667</v>
      </c>
      <c r="H23" s="11" t="n">
        <f aca="false">G23+H22</f>
        <v>3144.53333333333</v>
      </c>
    </row>
    <row r="24" customFormat="false" ht="13.8" hidden="false" customHeight="false" outlineLevel="0" collapsed="false">
      <c r="C24" s="9" t="n">
        <v>12</v>
      </c>
      <c r="D24" s="2" t="n">
        <f aca="false">1/$F$5+D23</f>
        <v>0.8</v>
      </c>
      <c r="E24" s="2" t="n">
        <f aca="false">(1-$D24)*(1-$D24)*D$39+2*(1-$D24)*$D24*D$40+$D24*$D24*D$41</f>
        <v>9.6</v>
      </c>
      <c r="F24" s="2" t="n">
        <f aca="false">(1-$D24)*(1-$D24)*E$39+2*(1-$D24)*$D24*E$40+$D24*$D24*E$41</f>
        <v>460.8</v>
      </c>
      <c r="G24" s="11" t="n">
        <f aca="false">IF(D24&lt;=1,F24,F$4)</f>
        <v>460.8</v>
      </c>
      <c r="H24" s="11" t="n">
        <f aca="false">G24+H23</f>
        <v>3605.33333333333</v>
      </c>
    </row>
    <row r="25" customFormat="false" ht="13.8" hidden="false" customHeight="false" outlineLevel="0" collapsed="false">
      <c r="C25" s="9" t="n">
        <v>13</v>
      </c>
      <c r="D25" s="2" t="n">
        <f aca="false">1/$F$5+D24</f>
        <v>0.866666666666667</v>
      </c>
      <c r="E25" s="2" t="n">
        <f aca="false">(1-$D25)*(1-$D25)*D$39+2*(1-$D25)*$D25*D$40+$D25*$D25*D$41</f>
        <v>11.2666666666667</v>
      </c>
      <c r="F25" s="2" t="n">
        <f aca="false">(1-$D25)*(1-$D25)*E$39+2*(1-$D25)*$D25*E$40+$D25*$D25*E$41</f>
        <v>471.466666666667</v>
      </c>
      <c r="G25" s="11" t="n">
        <f aca="false">IF(D25&lt;=1,F25,F$4)</f>
        <v>471.466666666667</v>
      </c>
      <c r="H25" s="11" t="n">
        <f aca="false">G25+H24</f>
        <v>4076.8</v>
      </c>
    </row>
    <row r="26" customFormat="false" ht="13.8" hidden="false" customHeight="false" outlineLevel="0" collapsed="false">
      <c r="C26" s="9" t="n">
        <v>14</v>
      </c>
      <c r="D26" s="2" t="n">
        <f aca="false">1/$F$5+D25</f>
        <v>0.933333333333333</v>
      </c>
      <c r="E26" s="2" t="n">
        <f aca="false">(1-$D26)*(1-$D26)*D$39+2*(1-$D26)*$D26*D$40+$D26*$D26*D$41</f>
        <v>13.0666666666667</v>
      </c>
      <c r="F26" s="2" t="n">
        <f aca="false">(1-$D26)*(1-$D26)*E$39+2*(1-$D26)*$D26*E$40+$D26*$D26*E$41</f>
        <v>477.866666666667</v>
      </c>
      <c r="G26" s="11" t="n">
        <f aca="false">IF(D26&lt;=1,F26,F$4)</f>
        <v>477.866666666667</v>
      </c>
      <c r="H26" s="11" t="n">
        <f aca="false">G26+H25</f>
        <v>4554.66666666667</v>
      </c>
    </row>
    <row r="27" customFormat="false" ht="13.8" hidden="false" customHeight="false" outlineLevel="0" collapsed="false">
      <c r="C27" s="9" t="n">
        <v>15</v>
      </c>
      <c r="D27" s="2" t="n">
        <f aca="false">1/$F$5+D26</f>
        <v>1</v>
      </c>
      <c r="E27" s="2" t="n">
        <f aca="false">(1-$D27)*(1-$D27)*D$39+2*(1-$D27)*$D27*D$40+$D27*$D27*D$41</f>
        <v>15</v>
      </c>
      <c r="F27" s="2" t="n">
        <f aca="false">(1-$D27)*(1-$D27)*E$39+2*(1-$D27)*$D27*E$40+$D27*$D27*E$41</f>
        <v>480</v>
      </c>
      <c r="G27" s="11" t="n">
        <f aca="false">IF(D27&lt;=1,F27,F$4)</f>
        <v>480</v>
      </c>
      <c r="H27" s="11" t="n">
        <f aca="false">G27+H26</f>
        <v>5034.66666666667</v>
      </c>
    </row>
    <row r="28" customFormat="false" ht="13.8" hidden="false" customHeight="false" outlineLevel="0" collapsed="false">
      <c r="C28" s="9" t="n">
        <v>16</v>
      </c>
      <c r="D28" s="2" t="n">
        <f aca="false">1/$F$5+D27</f>
        <v>1.06666666666667</v>
      </c>
      <c r="E28" s="2" t="n">
        <f aca="false">(1-$D28)*(1-$D28)*D$39+2*(1-$D28)*$D28*D$40+$D28*$D28*D$41</f>
        <v>17.0666666666667</v>
      </c>
      <c r="F28" s="2" t="n">
        <f aca="false">(1-$D28)*(1-$D28)*E$39+2*(1-$D28)*$D28*E$40+$D28*$D28*E$41</f>
        <v>477.866666666667</v>
      </c>
      <c r="G28" s="11" t="n">
        <f aca="false">IF(D28&lt;=1,F28,F$4)</f>
        <v>480</v>
      </c>
      <c r="H28" s="11" t="n">
        <f aca="false">G28+H27</f>
        <v>5514.66666666667</v>
      </c>
    </row>
    <row r="29" customFormat="false" ht="13.8" hidden="false" customHeight="false" outlineLevel="0" collapsed="false">
      <c r="C29" s="9" t="n">
        <v>17</v>
      </c>
      <c r="D29" s="2" t="n">
        <f aca="false">1/$F$5+D28</f>
        <v>1.13333333333333</v>
      </c>
      <c r="E29" s="2" t="n">
        <f aca="false">(1-$D29)*(1-$D29)*D$39+2*(1-$D29)*$D29*D$40+$D29*$D29*D$41</f>
        <v>19.2666666666667</v>
      </c>
      <c r="F29" s="2" t="n">
        <f aca="false">(1-$D29)*(1-$D29)*E$39+2*(1-$D29)*$D29*E$40+$D29*$D29*E$41</f>
        <v>471.466666666667</v>
      </c>
      <c r="G29" s="11" t="n">
        <f aca="false">IF(D29&lt;=1,F29,F$4)</f>
        <v>480</v>
      </c>
      <c r="H29" s="11" t="n">
        <f aca="false">G29+H28</f>
        <v>5994.66666666667</v>
      </c>
    </row>
    <row r="30" customFormat="false" ht="13.8" hidden="false" customHeight="false" outlineLevel="0" collapsed="false">
      <c r="C30" s="9" t="n">
        <v>18</v>
      </c>
      <c r="D30" s="2" t="n">
        <f aca="false">1/$F$5+D29</f>
        <v>1.2</v>
      </c>
      <c r="E30" s="2" t="n">
        <f aca="false">(1-$D30)*(1-$D30)*D$39+2*(1-$D30)*$D30*D$40+$D30*$D30*D$41</f>
        <v>21.6</v>
      </c>
      <c r="F30" s="2" t="n">
        <f aca="false">(1-$D30)*(1-$D30)*E$39+2*(1-$D30)*$D30*E$40+$D30*$D30*E$41</f>
        <v>460.8</v>
      </c>
      <c r="G30" s="11" t="n">
        <f aca="false">IF(D30&lt;=1,F30,F$4)</f>
        <v>480</v>
      </c>
      <c r="H30" s="11" t="n">
        <f aca="false">G30+H29</f>
        <v>6474.66666666667</v>
      </c>
    </row>
    <row r="31" customFormat="false" ht="13.8" hidden="false" customHeight="false" outlineLevel="0" collapsed="false">
      <c r="C31" s="9" t="n">
        <v>19</v>
      </c>
      <c r="D31" s="2" t="n">
        <f aca="false">1/$F$5+D30</f>
        <v>1.26666666666667</v>
      </c>
      <c r="E31" s="2" t="n">
        <f aca="false">(1-$D31)*(1-$D31)*D$39+2*(1-$D31)*$D31*D$40+$D31*$D31*D$41</f>
        <v>24.0666666666667</v>
      </c>
      <c r="F31" s="2" t="n">
        <f aca="false">(1-$D31)*(1-$D31)*E$39+2*(1-$D31)*$D31*E$40+$D31*$D31*E$41</f>
        <v>445.866666666667</v>
      </c>
      <c r="G31" s="11" t="n">
        <f aca="false">IF(D31&lt;=1,F31,F$4)</f>
        <v>480</v>
      </c>
      <c r="H31" s="11" t="n">
        <f aca="false">G31+H30</f>
        <v>6954.66666666667</v>
      </c>
    </row>
    <row r="35" customFormat="false" ht="19.7" hidden="false" customHeight="false" outlineLevel="0" collapsed="false">
      <c r="C35" s="5" t="s">
        <v>19</v>
      </c>
    </row>
    <row r="38" customFormat="false" ht="13.8" hidden="false" customHeight="false" outlineLevel="0" collapsed="false">
      <c r="D38" s="2" t="s">
        <v>20</v>
      </c>
      <c r="E38" s="2" t="s">
        <v>21</v>
      </c>
    </row>
    <row r="39" customFormat="false" ht="13.8" hidden="false" customHeight="false" outlineLevel="0" collapsed="false">
      <c r="C39" s="2" t="s">
        <v>22</v>
      </c>
      <c r="D39" s="2" t="n">
        <v>0</v>
      </c>
      <c r="E39" s="2" t="n">
        <v>0</v>
      </c>
    </row>
    <row r="40" customFormat="false" ht="13.8" hidden="false" customHeight="false" outlineLevel="0" collapsed="false">
      <c r="C40" s="2" t="s">
        <v>23</v>
      </c>
      <c r="D40" s="2" t="n">
        <f aca="false">0</f>
        <v>0</v>
      </c>
      <c r="E40" s="2" t="n">
        <f aca="false">F4</f>
        <v>480</v>
      </c>
    </row>
    <row r="41" customFormat="false" ht="13.8" hidden="false" customHeight="false" outlineLevel="0" collapsed="false">
      <c r="C41" s="2" t="s">
        <v>24</v>
      </c>
      <c r="D41" s="2" t="n">
        <f aca="false">F5</f>
        <v>15</v>
      </c>
      <c r="E41" s="2" t="n">
        <f aca="false">F4</f>
        <v>480</v>
      </c>
    </row>
    <row r="44" customFormat="false" ht="13.8" hidden="false" customHeight="false" outlineLevel="0" collapsed="false">
      <c r="C44" s="12" t="s">
        <v>25</v>
      </c>
    </row>
    <row r="45" customFormat="false" ht="16.4" hidden="false" customHeight="false" outlineLevel="0" collapsed="false">
      <c r="C45" s="13" t="s">
        <v>26</v>
      </c>
    </row>
    <row r="46" customFormat="false" ht="16.4" hidden="false" customHeight="false" outlineLevel="0" collapsed="false">
      <c r="C46" s="14" t="s">
        <v>27</v>
      </c>
    </row>
    <row r="49" customFormat="false" ht="19.7" hidden="false" customHeight="false" outlineLevel="0" collapsed="false">
      <c r="C49" s="5" t="s">
        <v>28</v>
      </c>
    </row>
    <row r="51" customFormat="false" ht="455.2" hidden="false" customHeight="true" outlineLevel="0" collapsed="false">
      <c r="C51" s="15" t="s">
        <v>29</v>
      </c>
      <c r="D51" s="15"/>
      <c r="E51" s="15"/>
      <c r="F51" s="15"/>
      <c r="G51" s="15"/>
      <c r="H51" s="15"/>
      <c r="I51" s="15"/>
      <c r="J51" s="15"/>
      <c r="K51" s="15"/>
      <c r="L51" s="15"/>
      <c r="M51" s="15"/>
      <c r="N51" s="15"/>
      <c r="O51" s="15"/>
      <c r="P51" s="15"/>
      <c r="Q51" s="15"/>
    </row>
  </sheetData>
  <mergeCells count="1">
    <mergeCell ref="C51:Q51"/>
  </mergeCells>
  <hyperlinks>
    <hyperlink ref="C45" r:id="rId1" display="ap@andrewprendergast.com"/>
    <hyperlink ref="C46" r:id="rId2" display="http://www.andrewprendergast.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6015625" defaultRowHeight="12.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345</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2015-11-22T03:21:20Z</dcterms:created>
  <dc:creator>Andrew Prendergast</dc:creator>
  <dc:description/>
  <dc:language>en-AU</dc:language>
  <cp:lastModifiedBy/>
  <dcterms:modified xsi:type="dcterms:W3CDTF">2025-11-23T13:01:34Z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